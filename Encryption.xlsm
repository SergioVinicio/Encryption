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ix\Documents\Tareas universidad\4 Semestre\Matematica Discreta\Hoja de Trabajo #3\"/>
    </mc:Choice>
  </mc:AlternateContent>
  <bookViews>
    <workbookView xWindow="0" yWindow="0" windowWidth="20490" windowHeight="7530" activeTab="3" xr2:uid="{69A58B13-BA5F-47B3-A213-CF7634789BC4}"/>
  </bookViews>
  <sheets>
    <sheet name=" Texto Fibonacci" sheetId="1" r:id="rId1"/>
    <sheet name="Encriptado Fibonacci" sheetId="2" r:id="rId2"/>
    <sheet name="Decryption Fibonacci" sheetId="4" r:id="rId3"/>
    <sheet name="Godel Encryption" sheetId="6" r:id="rId4"/>
  </sheets>
  <functionGroups builtInGroupCount="18"/>
  <definedNames>
    <definedName name="Tabla1">' Texto Fibonacci'!$B$5:$D$51</definedName>
    <definedName name="Tabla2">' Texto Fibonacci'!$L$5:$M$51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L5" i="1" l="1"/>
  <c r="C6" i="1" l="1"/>
  <c r="L6" i="1" s="1"/>
  <c r="H9" i="6" l="1"/>
  <c r="G9" i="6"/>
  <c r="I9" i="6"/>
  <c r="J9" i="6" l="1"/>
  <c r="K9" i="6"/>
  <c r="L9" i="6"/>
  <c r="O9" i="6" l="1"/>
  <c r="M41" i="1"/>
  <c r="M42" i="1"/>
  <c r="M43" i="1"/>
  <c r="M44" i="1"/>
  <c r="M45" i="1"/>
  <c r="M46" i="1"/>
  <c r="M47" i="1"/>
  <c r="M48" i="1"/>
  <c r="M49" i="1"/>
  <c r="M50" i="1"/>
  <c r="M51" i="1"/>
  <c r="M5" i="1" l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A7" i="1"/>
  <c r="C7" i="1" s="1"/>
  <c r="L7" i="1" s="1"/>
  <c r="A8" i="1" l="1"/>
  <c r="C8" i="1" s="1"/>
  <c r="L8" i="1" s="1"/>
  <c r="A9" i="1" l="1"/>
  <c r="C9" i="1" s="1"/>
  <c r="L9" i="1" s="1"/>
  <c r="A10" i="1" l="1"/>
  <c r="C10" i="1" s="1"/>
  <c r="L10" i="1" s="1"/>
  <c r="A11" i="1" l="1"/>
  <c r="C11" i="1" s="1"/>
  <c r="L11" i="1" s="1"/>
  <c r="A12" i="1" l="1"/>
  <c r="C12" i="1" s="1"/>
  <c r="L12" i="1" s="1"/>
  <c r="A13" i="1" l="1"/>
  <c r="C13" i="1" s="1"/>
  <c r="L13" i="1" s="1"/>
  <c r="A14" i="1" l="1"/>
  <c r="C14" i="1" s="1"/>
  <c r="L14" i="1" s="1"/>
  <c r="A15" i="1" l="1"/>
  <c r="C15" i="1" s="1"/>
  <c r="L15" i="1" s="1"/>
  <c r="A16" i="1" l="1"/>
  <c r="C16" i="1" s="1"/>
  <c r="L16" i="1" s="1"/>
  <c r="A17" i="1" l="1"/>
  <c r="C17" i="1" s="1"/>
  <c r="L17" i="1" s="1"/>
  <c r="A18" i="1" l="1"/>
  <c r="C18" i="1" s="1"/>
  <c r="L18" i="1" s="1"/>
  <c r="A19" i="1" l="1"/>
  <c r="C19" i="1" s="1"/>
  <c r="L19" i="1" s="1"/>
  <c r="A20" i="1" l="1"/>
  <c r="C20" i="1" s="1"/>
  <c r="L20" i="1" s="1"/>
  <c r="J10" i="2" l="1"/>
  <c r="J11" i="4" s="1"/>
  <c r="A21" i="1"/>
  <c r="C21" i="1" s="1"/>
  <c r="L21" i="1" s="1"/>
  <c r="A22" i="1" l="1"/>
  <c r="C22" i="1" s="1"/>
  <c r="L22" i="1" s="1"/>
  <c r="A23" i="1" l="1"/>
  <c r="C23" i="1" s="1"/>
  <c r="L23" i="1" s="1"/>
  <c r="A24" i="1" l="1"/>
  <c r="C24" i="1" s="1"/>
  <c r="L24" i="1" s="1"/>
  <c r="A25" i="1" l="1"/>
  <c r="C25" i="1" s="1"/>
  <c r="L25" i="1" s="1"/>
  <c r="A26" i="1" l="1"/>
  <c r="C26" i="1" s="1"/>
  <c r="L26" i="1" s="1"/>
  <c r="A27" i="1" l="1"/>
  <c r="C27" i="1" s="1"/>
  <c r="L27" i="1" s="1"/>
  <c r="A28" i="1" l="1"/>
  <c r="C28" i="1" s="1"/>
  <c r="L28" i="1" s="1"/>
  <c r="A29" i="1" l="1"/>
  <c r="C29" i="1" s="1"/>
  <c r="L29" i="1" s="1"/>
  <c r="A30" i="1" l="1"/>
  <c r="C30" i="1" s="1"/>
  <c r="L30" i="1" s="1"/>
  <c r="A31" i="1" l="1"/>
  <c r="C31" i="1" s="1"/>
  <c r="L31" i="1" s="1"/>
  <c r="A32" i="1" l="1"/>
  <c r="C32" i="1" s="1"/>
  <c r="L32" i="1" l="1"/>
  <c r="F10" i="2"/>
  <c r="F11" i="4" s="1"/>
  <c r="A33" i="1"/>
  <c r="C33" i="1" s="1"/>
  <c r="L33" i="1" s="1"/>
  <c r="A34" i="1" l="1"/>
  <c r="C34" i="1" s="1"/>
  <c r="L34" i="1" s="1"/>
  <c r="A35" i="1" l="1"/>
  <c r="C35" i="1" s="1"/>
  <c r="L35" i="1" s="1"/>
  <c r="A36" i="1" l="1"/>
  <c r="C36" i="1" s="1"/>
  <c r="L36" i="1" s="1"/>
  <c r="A37" i="1" l="1"/>
  <c r="C37" i="1" s="1"/>
  <c r="L37" i="1" l="1"/>
  <c r="H10" i="2"/>
  <c r="A38" i="1"/>
  <c r="C38" i="1" s="1"/>
  <c r="L38" i="1" s="1"/>
  <c r="A39" i="1" l="1"/>
  <c r="C39" i="1" s="1"/>
  <c r="L39" i="1" s="1"/>
  <c r="A40" i="1" l="1"/>
  <c r="C40" i="1" s="1"/>
  <c r="L40" i="1" l="1"/>
  <c r="E10" i="2"/>
  <c r="E11" i="4" s="1"/>
  <c r="A41" i="1"/>
  <c r="C41" i="1" s="1"/>
  <c r="L41" i="1" l="1"/>
  <c r="I10" i="2"/>
  <c r="I11" i="4" s="1"/>
  <c r="A42" i="1"/>
  <c r="C42" i="1" s="1"/>
  <c r="L42" i="1" s="1"/>
  <c r="A43" i="1" l="1"/>
  <c r="C43" i="1" s="1"/>
  <c r="L43" i="1" s="1"/>
  <c r="A44" i="1" l="1"/>
  <c r="C44" i="1" s="1"/>
  <c r="L44" i="1" s="1"/>
  <c r="A45" i="1" l="1"/>
  <c r="C45" i="1" s="1"/>
  <c r="L45" i="1" s="1"/>
  <c r="A46" i="1" l="1"/>
  <c r="C46" i="1" s="1"/>
  <c r="L46" i="1" s="1"/>
  <c r="A47" i="1" l="1"/>
  <c r="C47" i="1" s="1"/>
  <c r="L47" i="1" s="1"/>
  <c r="G10" i="2" l="1"/>
  <c r="G11" i="4" s="1"/>
  <c r="A48" i="1"/>
  <c r="C48" i="1" s="1"/>
  <c r="L48" i="1" s="1"/>
  <c r="A49" i="1" l="1"/>
  <c r="C49" i="1" s="1"/>
  <c r="L49" i="1" s="1"/>
  <c r="A50" i="1" l="1"/>
  <c r="C50" i="1" s="1"/>
  <c r="L50" i="1" s="1"/>
  <c r="A51" i="1" l="1"/>
  <c r="C51" i="1" l="1"/>
  <c r="L51" i="1" s="1"/>
  <c r="H11" i="4" s="1"/>
</calcChain>
</file>

<file path=xl/sharedStrings.xml><?xml version="1.0" encoding="utf-8"?>
<sst xmlns="http://schemas.openxmlformats.org/spreadsheetml/2006/main" count="101" uniqueCount="48">
  <si>
    <t>Encryption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</si>
  <si>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</si>
  <si>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</si>
  <si>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</si>
  <si>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</si>
  <si>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</si>
  <si>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</si>
  <si>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</si>
  <si>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</si>
  <si>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</si>
  <si>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</si>
  <si>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</si>
  <si>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</si>
  <si>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</si>
  <si>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</si>
  <si>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</si>
  <si>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</si>
  <si>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</si>
  <si>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</si>
  <si>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</si>
  <si>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</si>
  <si>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</si>
  <si>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</si>
  <si>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y</t>
  </si>
  <si>
    <t>z</t>
  </si>
  <si>
    <t>ñ</t>
  </si>
  <si>
    <t>Teclado</t>
  </si>
  <si>
    <t>Plain Text</t>
  </si>
  <si>
    <t>Decryption</t>
  </si>
  <si>
    <t>a</t>
  </si>
  <si>
    <t>!</t>
  </si>
  <si>
    <t>"</t>
  </si>
  <si>
    <t>#</t>
  </si>
  <si>
    <t>$</t>
  </si>
  <si>
    <t>%</t>
  </si>
  <si>
    <t>&amp;</t>
  </si>
  <si>
    <t>/</t>
  </si>
  <si>
    <t>(</t>
  </si>
  <si>
    <t>)</t>
  </si>
  <si>
    <t>=</t>
  </si>
  <si>
    <t>¡</t>
  </si>
  <si>
    <t>Encriptado</t>
  </si>
  <si>
    <t>Indice Fibonacci</t>
  </si>
  <si>
    <t>Clave</t>
  </si>
  <si>
    <t>Numero de Gödel</t>
  </si>
  <si>
    <t>Números Primos</t>
  </si>
  <si>
    <r>
      <t xml:space="preserve">Usar el macro </t>
    </r>
    <r>
      <rPr>
        <b/>
        <i/>
        <u/>
        <sz val="11"/>
        <color theme="1"/>
        <rFont val="Calibri"/>
        <family val="2"/>
        <scheme val="minor"/>
      </rPr>
      <t>Ctrl+Shift+Q</t>
    </r>
    <r>
      <rPr>
        <sz val="11"/>
        <color theme="1"/>
        <rFont val="Calibri"/>
        <family val="2"/>
        <scheme val="minor"/>
      </rPr>
      <t xml:space="preserve"> para ajustar 
el tamaño de las columnas, y poder 
visualizar de mejor manera los numeros
encripatos.</t>
    </r>
  </si>
  <si>
    <t>NOTA: Ejemplos de la desencripcion pueden ser vistos, 
en el archivo de pyhton y en el archivo de 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</si>
</sst>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???/???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1" fillId="0" borderId="4" xfId="0" applyFont="1" applyBorder="1"/>
    <xf numFmtId="0" fontId="2" fillId="0" borderId="0" xfId="0" applyFont="1"/>
    <xf numFmtId="1" fontId="2" fillId="0" borderId="4" xfId="0" applyNumberFormat="1" applyFont="1" applyBorder="1"/>
    <xf numFmtId="0" fontId="3" fillId="0" borderId="8" xfId="0" applyFont="1" applyBorder="1" applyAlignment="1"/>
    <xf numFmtId="0" fontId="3" fillId="0" borderId="0" xfId="0" applyFont="1" applyBorder="1" applyAlignment="1">
      <alignment horizontal="center"/>
    </xf>
    <xf numFmtId="0" fontId="3" fillId="0" borderId="0" xfId="0" applyFont="1"/>
    <xf numFmtId="1" fontId="3" fillId="0" borderId="0" xfId="0" applyNumberFormat="1" applyFont="1"/>
    <xf numFmtId="0" fontId="3" fillId="3" borderId="7" xfId="0" applyFont="1" applyFill="1" applyBorder="1"/>
    <xf numFmtId="0" fontId="3" fillId="0" borderId="0" xfId="0" applyFont="1" applyBorder="1"/>
    <xf numFmtId="0" fontId="3" fillId="0" borderId="7" xfId="0" applyFont="1" applyBorder="1"/>
    <xf numFmtId="164" fontId="3" fillId="0" borderId="0" xfId="0" applyNumberFormat="1" applyFont="1"/>
    <xf numFmtId="1" fontId="2" fillId="0" borderId="14" xfId="0" applyNumberFormat="1" applyFont="1" applyBorder="1"/>
    <xf numFmtId="0" fontId="1" fillId="0" borderId="14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4" fontId="3" fillId="0" borderId="4" xfId="0" applyNumberFormat="1" applyFont="1" applyBorder="1"/>
    <xf numFmtId="4" fontId="3" fillId="0" borderId="5" xfId="0" applyNumberFormat="1" applyFont="1" applyBorder="1"/>
    <xf numFmtId="4" fontId="3" fillId="0" borderId="6" xfId="0" applyNumberFormat="1" applyFont="1" applyBorder="1"/>
    <xf numFmtId="1" fontId="3" fillId="0" borderId="14" xfId="0" applyNumberFormat="1" applyFont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4" fillId="0" borderId="0" xfId="0" applyFont="1"/>
    <xf numFmtId="0" fontId="4" fillId="3" borderId="11" xfId="0" applyFont="1" applyFill="1" applyBorder="1"/>
    <xf numFmtId="0" fontId="4" fillId="3" borderId="7" xfId="0" applyFont="1" applyFill="1" applyBorder="1"/>
    <xf numFmtId="0" fontId="4" fillId="3" borderId="12" xfId="0" applyFont="1" applyFill="1" applyBorder="1"/>
    <xf numFmtId="0" fontId="4" fillId="0" borderId="11" xfId="0" applyFont="1" applyBorder="1"/>
    <xf numFmtId="0" fontId="4" fillId="0" borderId="7" xfId="0" applyFont="1" applyBorder="1"/>
    <xf numFmtId="0" fontId="4" fillId="0" borderId="12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0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0" fillId="0" borderId="4" xfId="0" applyFont="1" applyBorder="1"/>
    <xf numFmtId="0" fontId="0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09B2E-3CEF-4D52-9345-031F9DD3D6AD}">
  <sheetPr codeName="Hoja1"/>
  <dimension ref="A1:T51"/>
  <sheetViews>
    <sheetView showGridLines="0" zoomScaleNormal="100" workbookViewId="0">
      <selection activeCell="N11" sqref="N11"/>
    </sheetView>
  </sheetViews>
  <sheetFormatPr defaultColWidth="11.42578125" defaultRowHeight="15" x14ac:dyDescent="0.25"/>
  <cols>
    <col min="1" max="1" width="15.28515625" style="23" bestFit="1" customWidth="1"/>
    <col min="2" max="2" width="7.85546875" style="23" bestFit="1" customWidth="1"/>
    <col min="3" max="3" width="11" style="23" bestFit="1" customWidth="1"/>
    <col min="4" max="4" width="15.28515625" style="23" bestFit="1" customWidth="1"/>
    <col min="5" max="5" width="2.140625" style="23" bestFit="1" customWidth="1"/>
    <col min="6" max="6" width="2" style="23" bestFit="1" customWidth="1"/>
    <col min="7" max="7" width="1.85546875" style="23" bestFit="1" customWidth="1"/>
    <col min="8" max="8" width="2" style="23" bestFit="1" customWidth="1"/>
    <col min="9" max="9" width="1.7109375" style="23" bestFit="1" customWidth="1"/>
    <col min="10" max="10" width="2.140625" style="23" bestFit="1" customWidth="1"/>
    <col min="11" max="11" width="10.85546875" style="23" customWidth="1"/>
    <col min="12" max="12" width="11" style="23" bestFit="1" customWidth="1"/>
    <col min="13" max="13" width="7.85546875" style="23" bestFit="1" customWidth="1"/>
    <col min="14" max="15" width="14.7109375" style="23" customWidth="1"/>
    <col min="16" max="16" width="2" style="23" bestFit="1" customWidth="1"/>
    <col min="17" max="17" width="11" style="23" bestFit="1" customWidth="1"/>
    <col min="18" max="18" width="7.85546875" style="23" bestFit="1" customWidth="1"/>
    <col min="19" max="19" width="2.140625" style="23" bestFit="1" customWidth="1"/>
    <col min="20" max="21" width="2" style="23" bestFit="1" customWidth="1"/>
    <col min="22" max="22" width="2.7109375" style="23" bestFit="1" customWidth="1"/>
    <col min="23" max="23" width="1.5703125" style="23" bestFit="1" customWidth="1"/>
    <col min="24" max="24" width="2" style="23" bestFit="1" customWidth="1"/>
    <col min="25" max="25" width="2.140625" style="23" bestFit="1" customWidth="1"/>
    <col min="26" max="26" width="1.7109375" style="23" bestFit="1" customWidth="1"/>
    <col min="27" max="27" width="11.42578125" style="23"/>
    <col min="28" max="29" width="11" style="23" bestFit="1" customWidth="1"/>
    <col min="30" max="30" width="7.85546875" style="23" bestFit="1" customWidth="1"/>
    <col min="31" max="16384" width="11.42578125" style="23"/>
  </cols>
  <sheetData>
    <row r="1" spans="1:20" ht="15.75" thickBot="1" x14ac:dyDescent="0.3">
      <c r="B1" s="33"/>
      <c r="C1" s="33"/>
    </row>
    <row r="2" spans="1:20" ht="15.75" thickBot="1" x14ac:dyDescent="0.3">
      <c r="O2" s="54" t="s">
        <v>46</v>
      </c>
      <c r="P2" s="55"/>
      <c r="Q2" s="55"/>
      <c r="R2" s="55"/>
      <c r="S2" s="55"/>
      <c r="T2" s="56"/>
    </row>
    <row r="3" spans="1:20" ht="15.75" thickBot="1" x14ac:dyDescent="0.3">
      <c r="A3" s="34" t="s">
        <v>0</v>
      </c>
      <c r="B3" s="35"/>
      <c r="C3" s="36"/>
      <c r="L3" s="37" t="s">
        <v>28</v>
      </c>
      <c r="M3" s="38"/>
      <c r="O3" s="57"/>
      <c r="P3" s="58"/>
      <c r="Q3" s="58"/>
      <c r="R3" s="58"/>
      <c r="S3" s="58"/>
      <c r="T3" s="59"/>
    </row>
    <row r="4" spans="1:20" x14ac:dyDescent="0.25">
      <c r="A4" s="24" t="s">
        <v>42</v>
      </c>
      <c r="B4" s="25" t="s">
        <v>26</v>
      </c>
      <c r="C4" s="26" t="s">
        <v>41</v>
      </c>
      <c r="E4" s="39" t="s">
        <v>43</v>
      </c>
      <c r="F4" s="40"/>
      <c r="G4" s="40"/>
      <c r="H4" s="40"/>
      <c r="I4" s="40"/>
      <c r="J4" s="41"/>
      <c r="L4" s="24" t="s">
        <v>28</v>
      </c>
      <c r="M4" s="26" t="s">
        <v>26</v>
      </c>
      <c r="O4" s="57"/>
      <c r="P4" s="58"/>
      <c r="Q4" s="58"/>
      <c r="R4" s="58"/>
      <c r="S4" s="58"/>
      <c r="T4" s="59"/>
    </row>
    <row r="5" spans="1:20" ht="15.75" thickBot="1" x14ac:dyDescent="0.3">
      <c r="A5" s="27">
        <v>1</v>
      </c>
      <c r="B5" s="28" t="s">
        <v>29</v>
      </c>
      <c r="C5" s="29">
        <f>((A5*1703)^2)/0.00049</f>
        <v>5918793877.5510206</v>
      </c>
      <c r="E5" s="53" t="s">
        <v>4</v>
      </c>
      <c r="F5" s="31">
        <v>9</v>
      </c>
      <c r="G5" s="31" t="s">
        <v>36</v>
      </c>
      <c r="H5" s="31">
        <v>7</v>
      </c>
      <c r="I5" s="31" t="s">
        <v>30</v>
      </c>
      <c r="J5" s="32" t="s">
        <v>1</v>
      </c>
      <c r="L5" s="27">
        <f t="shared" ref="L5:L51" si="0">SQRT(C5*0.00049)/1703</f>
        <v>1</v>
      </c>
      <c r="M5" s="29" t="str">
        <f t="shared" ref="M5:M51" si="1">B5</f>
        <v>a</v>
      </c>
      <c r="O5" s="57"/>
      <c r="P5" s="58"/>
      <c r="Q5" s="58"/>
      <c r="R5" s="58"/>
      <c r="S5" s="58"/>
      <c r="T5" s="59"/>
    </row>
    <row r="6" spans="1:20" x14ac:dyDescent="0.25">
      <c r="A6" s="27">
        <v>2</v>
      </c>
      <c r="B6" s="28" t="s">
        <v>1</v>
      </c>
      <c r="C6" s="29">
        <f t="shared" ref="C6:C51" si="2">((A6*1703)^2)/0.00049</f>
        <v>23675175510.204082</v>
      </c>
      <c r="L6" s="27">
        <f t="shared" si="0"/>
        <v>2</v>
      </c>
      <c r="M6" s="29" t="str">
        <f t="shared" si="1"/>
        <v>b</v>
      </c>
      <c r="O6" s="57"/>
      <c r="P6" s="58"/>
      <c r="Q6" s="58"/>
      <c r="R6" s="58"/>
      <c r="S6" s="58"/>
      <c r="T6" s="59"/>
    </row>
    <row r="7" spans="1:20" ht="15.75" thickBot="1" x14ac:dyDescent="0.3">
      <c r="A7" s="27">
        <f>A6+A5</f>
        <v>3</v>
      </c>
      <c r="B7" s="28" t="s">
        <v>2</v>
      </c>
      <c r="C7" s="29">
        <f t="shared" si="2"/>
        <v>53269144897.959183</v>
      </c>
      <c r="L7" s="27">
        <f t="shared" si="0"/>
        <v>3</v>
      </c>
      <c r="M7" s="29" t="str">
        <f t="shared" si="1"/>
        <v>c</v>
      </c>
      <c r="O7" s="60"/>
      <c r="P7" s="61"/>
      <c r="Q7" s="61"/>
      <c r="R7" s="61"/>
      <c r="S7" s="61"/>
      <c r="T7" s="62"/>
    </row>
    <row r="8" spans="1:20" x14ac:dyDescent="0.25">
      <c r="A8" s="27">
        <f t="shared" ref="A8:A51" si="3">A7+A6</f>
        <v>5</v>
      </c>
      <c r="B8" s="28" t="s">
        <v>3</v>
      </c>
      <c r="C8" s="29">
        <f t="shared" si="2"/>
        <v>147969846938.77551</v>
      </c>
      <c r="L8" s="27">
        <f t="shared" si="0"/>
        <v>5</v>
      </c>
      <c r="M8" s="29" t="str">
        <f t="shared" si="1"/>
        <v>d</v>
      </c>
    </row>
    <row r="9" spans="1:20" x14ac:dyDescent="0.25">
      <c r="A9" s="27">
        <f t="shared" si="3"/>
        <v>8</v>
      </c>
      <c r="B9" s="28" t="s">
        <v>4</v>
      </c>
      <c r="C9" s="29">
        <f t="shared" si="2"/>
        <v>378802808163.26532</v>
      </c>
      <c r="L9" s="27">
        <f t="shared" si="0"/>
        <v>8</v>
      </c>
      <c r="M9" s="29" t="str">
        <f t="shared" si="1"/>
        <v>e</v>
      </c>
    </row>
    <row r="10" spans="1:20" x14ac:dyDescent="0.25">
      <c r="A10" s="27">
        <f t="shared" si="3"/>
        <v>13</v>
      </c>
      <c r="B10" s="28" t="s">
        <v>5</v>
      </c>
      <c r="C10" s="29">
        <f t="shared" si="2"/>
        <v>1000276165306.1224</v>
      </c>
      <c r="L10" s="27">
        <f t="shared" si="0"/>
        <v>13</v>
      </c>
      <c r="M10" s="29" t="str">
        <f t="shared" si="1"/>
        <v>f</v>
      </c>
    </row>
    <row r="11" spans="1:20" x14ac:dyDescent="0.25">
      <c r="A11" s="27">
        <f t="shared" si="3"/>
        <v>21</v>
      </c>
      <c r="B11" s="28" t="s">
        <v>6</v>
      </c>
      <c r="C11" s="29">
        <f t="shared" si="2"/>
        <v>2610188100000</v>
      </c>
      <c r="L11" s="27">
        <f t="shared" si="0"/>
        <v>21</v>
      </c>
      <c r="M11" s="29" t="str">
        <f t="shared" si="1"/>
        <v>g</v>
      </c>
    </row>
    <row r="12" spans="1:20" x14ac:dyDescent="0.25">
      <c r="A12" s="27">
        <f t="shared" si="3"/>
        <v>34</v>
      </c>
      <c r="B12" s="28" t="s">
        <v>7</v>
      </c>
      <c r="C12" s="29">
        <f t="shared" si="2"/>
        <v>6842125722448.9795</v>
      </c>
      <c r="L12" s="27">
        <f t="shared" si="0"/>
        <v>34</v>
      </c>
      <c r="M12" s="29" t="str">
        <f t="shared" si="1"/>
        <v>h</v>
      </c>
    </row>
    <row r="13" spans="1:20" x14ac:dyDescent="0.25">
      <c r="A13" s="27">
        <f t="shared" si="3"/>
        <v>55</v>
      </c>
      <c r="B13" s="28" t="s">
        <v>8</v>
      </c>
      <c r="C13" s="29">
        <f t="shared" si="2"/>
        <v>17904351479591.836</v>
      </c>
      <c r="L13" s="27">
        <f t="shared" si="0"/>
        <v>55</v>
      </c>
      <c r="M13" s="29" t="str">
        <f t="shared" si="1"/>
        <v>i</v>
      </c>
    </row>
    <row r="14" spans="1:20" x14ac:dyDescent="0.25">
      <c r="A14" s="27">
        <f t="shared" si="3"/>
        <v>89</v>
      </c>
      <c r="B14" s="28" t="s">
        <v>9</v>
      </c>
      <c r="C14" s="29">
        <f t="shared" si="2"/>
        <v>46882766304081.633</v>
      </c>
      <c r="L14" s="27">
        <f t="shared" si="0"/>
        <v>89</v>
      </c>
      <c r="M14" s="29" t="str">
        <f t="shared" si="1"/>
        <v>j</v>
      </c>
    </row>
    <row r="15" spans="1:20" x14ac:dyDescent="0.25">
      <c r="A15" s="27">
        <f t="shared" si="3"/>
        <v>144</v>
      </c>
      <c r="B15" s="28" t="s">
        <v>10</v>
      </c>
      <c r="C15" s="29">
        <f t="shared" si="2"/>
        <v>122732109844897.97</v>
      </c>
      <c r="L15" s="27">
        <f t="shared" si="0"/>
        <v>144</v>
      </c>
      <c r="M15" s="29" t="str">
        <f t="shared" si="1"/>
        <v>k</v>
      </c>
    </row>
    <row r="16" spans="1:20" x14ac:dyDescent="0.25">
      <c r="A16" s="27">
        <f t="shared" si="3"/>
        <v>233</v>
      </c>
      <c r="B16" s="28" t="s">
        <v>11</v>
      </c>
      <c r="C16" s="29">
        <f t="shared" si="2"/>
        <v>321325400818367.38</v>
      </c>
      <c r="L16" s="27">
        <f t="shared" si="0"/>
        <v>233</v>
      </c>
      <c r="M16" s="29" t="str">
        <f t="shared" si="1"/>
        <v>l</v>
      </c>
    </row>
    <row r="17" spans="1:13" x14ac:dyDescent="0.25">
      <c r="A17" s="27">
        <f t="shared" si="3"/>
        <v>377</v>
      </c>
      <c r="B17" s="28" t="s">
        <v>12</v>
      </c>
      <c r="C17" s="29">
        <f t="shared" si="2"/>
        <v>841232255022449</v>
      </c>
      <c r="L17" s="27">
        <f t="shared" si="0"/>
        <v>377</v>
      </c>
      <c r="M17" s="29" t="str">
        <f t="shared" si="1"/>
        <v>m</v>
      </c>
    </row>
    <row r="18" spans="1:13" x14ac:dyDescent="0.25">
      <c r="A18" s="27">
        <f t="shared" si="3"/>
        <v>610</v>
      </c>
      <c r="B18" s="28" t="s">
        <v>13</v>
      </c>
      <c r="C18" s="29">
        <f t="shared" si="2"/>
        <v>2202383201836734.8</v>
      </c>
      <c r="L18" s="27">
        <f t="shared" si="0"/>
        <v>610</v>
      </c>
      <c r="M18" s="29" t="str">
        <f t="shared" si="1"/>
        <v>n</v>
      </c>
    </row>
    <row r="19" spans="1:13" x14ac:dyDescent="0.25">
      <c r="A19" s="27">
        <f t="shared" si="3"/>
        <v>987</v>
      </c>
      <c r="B19" s="28" t="s">
        <v>25</v>
      </c>
      <c r="C19" s="29">
        <f t="shared" si="2"/>
        <v>5765905512900000</v>
      </c>
      <c r="L19" s="27">
        <f t="shared" si="0"/>
        <v>987</v>
      </c>
      <c r="M19" s="29" t="str">
        <f t="shared" si="1"/>
        <v>ñ</v>
      </c>
    </row>
    <row r="20" spans="1:13" x14ac:dyDescent="0.25">
      <c r="A20" s="27">
        <f t="shared" si="3"/>
        <v>1597</v>
      </c>
      <c r="B20" s="28" t="s">
        <v>14</v>
      </c>
      <c r="C20" s="29">
        <f t="shared" si="2"/>
        <v>1.509534517445102E+16</v>
      </c>
      <c r="L20" s="27">
        <f t="shared" si="0"/>
        <v>1597</v>
      </c>
      <c r="M20" s="29" t="str">
        <f t="shared" si="1"/>
        <v>o</v>
      </c>
    </row>
    <row r="21" spans="1:13" x14ac:dyDescent="0.25">
      <c r="A21" s="27">
        <f t="shared" si="3"/>
        <v>2584</v>
      </c>
      <c r="B21" s="28" t="s">
        <v>15</v>
      </c>
      <c r="C21" s="29">
        <f t="shared" si="2"/>
        <v>3.9520118172865304E+16</v>
      </c>
      <c r="L21" s="27">
        <f t="shared" si="0"/>
        <v>2584</v>
      </c>
      <c r="M21" s="29" t="str">
        <f t="shared" si="1"/>
        <v>p</v>
      </c>
    </row>
    <row r="22" spans="1:13" x14ac:dyDescent="0.25">
      <c r="A22" s="27">
        <f t="shared" si="3"/>
        <v>4181</v>
      </c>
      <c r="B22" s="28" t="s">
        <v>16</v>
      </c>
      <c r="C22" s="29">
        <f t="shared" si="2"/>
        <v>1.0346502118173266E+17</v>
      </c>
      <c r="L22" s="27">
        <f t="shared" si="0"/>
        <v>4181</v>
      </c>
      <c r="M22" s="29" t="str">
        <f t="shared" si="1"/>
        <v>q</v>
      </c>
    </row>
    <row r="23" spans="1:13" x14ac:dyDescent="0.25">
      <c r="A23" s="27">
        <f t="shared" si="3"/>
        <v>6765</v>
      </c>
      <c r="B23" s="28" t="s">
        <v>17</v>
      </c>
      <c r="C23" s="29">
        <f t="shared" si="2"/>
        <v>2.708749335347449E+17</v>
      </c>
      <c r="L23" s="27">
        <f t="shared" si="0"/>
        <v>6765</v>
      </c>
      <c r="M23" s="29" t="str">
        <f t="shared" si="1"/>
        <v>r</v>
      </c>
    </row>
    <row r="24" spans="1:13" x14ac:dyDescent="0.25">
      <c r="A24" s="27">
        <f t="shared" si="3"/>
        <v>10946</v>
      </c>
      <c r="B24" s="28" t="s">
        <v>18</v>
      </c>
      <c r="C24" s="29">
        <f t="shared" si="2"/>
        <v>7.0915979126008986E+17</v>
      </c>
      <c r="L24" s="27">
        <f t="shared" si="0"/>
        <v>10946</v>
      </c>
      <c r="M24" s="29" t="str">
        <f t="shared" si="1"/>
        <v>s</v>
      </c>
    </row>
    <row r="25" spans="1:13" x14ac:dyDescent="0.25">
      <c r="A25" s="27">
        <f t="shared" si="3"/>
        <v>17711</v>
      </c>
      <c r="B25" s="28" t="s">
        <v>19</v>
      </c>
      <c r="C25" s="29">
        <f t="shared" si="2"/>
        <v>1.8566044284079368E+18</v>
      </c>
      <c r="L25" s="27">
        <f t="shared" si="0"/>
        <v>17711</v>
      </c>
      <c r="M25" s="29" t="str">
        <f t="shared" si="1"/>
        <v>t</v>
      </c>
    </row>
    <row r="26" spans="1:13" x14ac:dyDescent="0.25">
      <c r="A26" s="27">
        <f t="shared" si="3"/>
        <v>28657</v>
      </c>
      <c r="B26" s="28" t="s">
        <v>20</v>
      </c>
      <c r="C26" s="29">
        <f t="shared" si="2"/>
        <v>4.8606535058013082E+18</v>
      </c>
      <c r="L26" s="27">
        <f t="shared" si="0"/>
        <v>28657</v>
      </c>
      <c r="M26" s="29" t="str">
        <f t="shared" si="1"/>
        <v>u</v>
      </c>
    </row>
    <row r="27" spans="1:13" x14ac:dyDescent="0.25">
      <c r="A27" s="27">
        <f t="shared" si="3"/>
        <v>46368</v>
      </c>
      <c r="B27" s="28" t="s">
        <v>21</v>
      </c>
      <c r="C27" s="29">
        <f t="shared" si="2"/>
        <v>1.27253560771584E+19</v>
      </c>
      <c r="L27" s="27">
        <f t="shared" si="0"/>
        <v>46368</v>
      </c>
      <c r="M27" s="29" t="str">
        <f t="shared" si="1"/>
        <v>v</v>
      </c>
    </row>
    <row r="28" spans="1:13" x14ac:dyDescent="0.25">
      <c r="A28" s="27">
        <f t="shared" si="3"/>
        <v>75025</v>
      </c>
      <c r="B28" s="28" t="s">
        <v>22</v>
      </c>
      <c r="C28" s="29">
        <f t="shared" si="2"/>
        <v>3.3315414737511477E+19</v>
      </c>
      <c r="L28" s="27">
        <f t="shared" si="0"/>
        <v>75025</v>
      </c>
      <c r="M28" s="29" t="str">
        <f t="shared" si="1"/>
        <v>x</v>
      </c>
    </row>
    <row r="29" spans="1:13" x14ac:dyDescent="0.25">
      <c r="A29" s="27">
        <f t="shared" si="3"/>
        <v>121393</v>
      </c>
      <c r="B29" s="28" t="s">
        <v>23</v>
      </c>
      <c r="C29" s="29">
        <f t="shared" si="2"/>
        <v>8.7220888123538457E+19</v>
      </c>
      <c r="L29" s="27">
        <f t="shared" si="0"/>
        <v>121393</v>
      </c>
      <c r="M29" s="29" t="str">
        <f t="shared" si="1"/>
        <v>y</v>
      </c>
    </row>
    <row r="30" spans="1:13" x14ac:dyDescent="0.25">
      <c r="A30" s="27">
        <f t="shared" si="3"/>
        <v>196418</v>
      </c>
      <c r="B30" s="28" t="s">
        <v>24</v>
      </c>
      <c r="C30" s="29">
        <f t="shared" si="2"/>
        <v>2.2834724964494148E+20</v>
      </c>
      <c r="L30" s="27">
        <f t="shared" si="0"/>
        <v>196418</v>
      </c>
      <c r="M30" s="29" t="str">
        <f t="shared" si="1"/>
        <v>z</v>
      </c>
    </row>
    <row r="31" spans="1:13" x14ac:dyDescent="0.25">
      <c r="A31" s="27">
        <f t="shared" si="3"/>
        <v>317811</v>
      </c>
      <c r="B31" s="28">
        <v>1</v>
      </c>
      <c r="C31" s="29">
        <f t="shared" si="2"/>
        <v>5.9782086079944825E+20</v>
      </c>
      <c r="L31" s="27">
        <f t="shared" si="0"/>
        <v>317811</v>
      </c>
      <c r="M31" s="29">
        <f t="shared" si="1"/>
        <v>1</v>
      </c>
    </row>
    <row r="32" spans="1:13" x14ac:dyDescent="0.25">
      <c r="A32" s="27">
        <f t="shared" si="3"/>
        <v>514229</v>
      </c>
      <c r="B32" s="28">
        <v>2</v>
      </c>
      <c r="C32" s="29">
        <f t="shared" si="2"/>
        <v>1.5651153327652413E+21</v>
      </c>
      <c r="L32" s="27">
        <f t="shared" si="0"/>
        <v>514229</v>
      </c>
      <c r="M32" s="29">
        <f t="shared" si="1"/>
        <v>2</v>
      </c>
    </row>
    <row r="33" spans="1:13" x14ac:dyDescent="0.25">
      <c r="A33" s="27">
        <f t="shared" si="3"/>
        <v>832040</v>
      </c>
      <c r="B33" s="28">
        <v>3</v>
      </c>
      <c r="C33" s="29">
        <f t="shared" si="2"/>
        <v>4.0975251374844375E+21</v>
      </c>
      <c r="L33" s="27">
        <f t="shared" si="0"/>
        <v>832040</v>
      </c>
      <c r="M33" s="29">
        <f t="shared" si="1"/>
        <v>3</v>
      </c>
    </row>
    <row r="34" spans="1:13" x14ac:dyDescent="0.25">
      <c r="A34" s="27">
        <f t="shared" si="3"/>
        <v>1346269</v>
      </c>
      <c r="B34" s="28">
        <v>4</v>
      </c>
      <c r="C34" s="29">
        <f t="shared" si="2"/>
        <v>1.072746007969991E+22</v>
      </c>
      <c r="L34" s="27">
        <f t="shared" si="0"/>
        <v>1346269</v>
      </c>
      <c r="M34" s="29">
        <f t="shared" si="1"/>
        <v>4</v>
      </c>
    </row>
    <row r="35" spans="1:13" x14ac:dyDescent="0.25">
      <c r="A35" s="27">
        <f t="shared" si="3"/>
        <v>2178309</v>
      </c>
      <c r="B35" s="28">
        <v>5</v>
      </c>
      <c r="C35" s="29">
        <f t="shared" si="2"/>
        <v>2.8084855101603453E+22</v>
      </c>
      <c r="L35" s="27">
        <f t="shared" si="0"/>
        <v>2178309</v>
      </c>
      <c r="M35" s="29">
        <f t="shared" si="1"/>
        <v>5</v>
      </c>
    </row>
    <row r="36" spans="1:13" x14ac:dyDescent="0.25">
      <c r="A36" s="27">
        <f t="shared" si="3"/>
        <v>3524578</v>
      </c>
      <c r="B36" s="28">
        <v>6</v>
      </c>
      <c r="C36" s="29">
        <f t="shared" si="2"/>
        <v>7.352710522512229E+22</v>
      </c>
      <c r="L36" s="27">
        <f t="shared" si="0"/>
        <v>3524578</v>
      </c>
      <c r="M36" s="29">
        <f t="shared" si="1"/>
        <v>6</v>
      </c>
    </row>
    <row r="37" spans="1:13" x14ac:dyDescent="0.25">
      <c r="A37" s="27">
        <f t="shared" si="3"/>
        <v>5702887</v>
      </c>
      <c r="B37" s="28">
        <v>7</v>
      </c>
      <c r="C37" s="29">
        <f t="shared" si="2"/>
        <v>1.9249646057375159E+23</v>
      </c>
      <c r="L37" s="27">
        <f t="shared" si="0"/>
        <v>5702887</v>
      </c>
      <c r="M37" s="29">
        <f t="shared" si="1"/>
        <v>7</v>
      </c>
    </row>
    <row r="38" spans="1:13" x14ac:dyDescent="0.25">
      <c r="A38" s="27">
        <f t="shared" si="3"/>
        <v>9227465</v>
      </c>
      <c r="B38" s="28">
        <v>8</v>
      </c>
      <c r="C38" s="29">
        <f t="shared" si="2"/>
        <v>5.0396227649614422E+23</v>
      </c>
      <c r="L38" s="27">
        <f t="shared" si="0"/>
        <v>9227465</v>
      </c>
      <c r="M38" s="29">
        <f t="shared" si="1"/>
        <v>8</v>
      </c>
    </row>
    <row r="39" spans="1:13" x14ac:dyDescent="0.25">
      <c r="A39" s="27">
        <f t="shared" si="3"/>
        <v>14930352</v>
      </c>
      <c r="B39" s="28">
        <v>9</v>
      </c>
      <c r="C39" s="29">
        <f t="shared" si="2"/>
        <v>1.3193903689146692E+24</v>
      </c>
      <c r="L39" s="27">
        <f t="shared" si="0"/>
        <v>14930352</v>
      </c>
      <c r="M39" s="29">
        <f t="shared" si="1"/>
        <v>9</v>
      </c>
    </row>
    <row r="40" spans="1:13" x14ac:dyDescent="0.25">
      <c r="A40" s="27">
        <f t="shared" si="3"/>
        <v>24157817</v>
      </c>
      <c r="B40" s="28">
        <v>0</v>
      </c>
      <c r="C40" s="29">
        <f t="shared" si="2"/>
        <v>3.4542088302478757E+24</v>
      </c>
      <c r="L40" s="27">
        <f t="shared" si="0"/>
        <v>24157817</v>
      </c>
      <c r="M40" s="29">
        <f t="shared" si="1"/>
        <v>0</v>
      </c>
    </row>
    <row r="41" spans="1:13" x14ac:dyDescent="0.25">
      <c r="A41" s="27">
        <f t="shared" si="3"/>
        <v>39088169</v>
      </c>
      <c r="B41" s="28" t="s">
        <v>30</v>
      </c>
      <c r="C41" s="29">
        <f t="shared" si="2"/>
        <v>9.0432361218289469E+24</v>
      </c>
      <c r="L41" s="27">
        <f t="shared" si="0"/>
        <v>39088169</v>
      </c>
      <c r="M41" s="29" t="str">
        <f t="shared" si="1"/>
        <v>!</v>
      </c>
    </row>
    <row r="42" spans="1:13" x14ac:dyDescent="0.25">
      <c r="A42" s="27">
        <f t="shared" si="3"/>
        <v>63245986</v>
      </c>
      <c r="B42" s="28" t="s">
        <v>31</v>
      </c>
      <c r="C42" s="29">
        <f t="shared" si="2"/>
        <v>2.3675499535238976E+25</v>
      </c>
      <c r="L42" s="27">
        <f t="shared" si="0"/>
        <v>63245986</v>
      </c>
      <c r="M42" s="29" t="str">
        <f t="shared" si="1"/>
        <v>"</v>
      </c>
    </row>
    <row r="43" spans="1:13" x14ac:dyDescent="0.25">
      <c r="A43" s="27">
        <f t="shared" si="3"/>
        <v>102334155</v>
      </c>
      <c r="B43" s="28" t="s">
        <v>32</v>
      </c>
      <c r="C43" s="29">
        <f t="shared" si="2"/>
        <v>6.1983262483887961E+25</v>
      </c>
      <c r="L43" s="27">
        <f t="shared" si="0"/>
        <v>102334155</v>
      </c>
      <c r="M43" s="29" t="str">
        <f t="shared" si="1"/>
        <v>#</v>
      </c>
    </row>
    <row r="44" spans="1:13" x14ac:dyDescent="0.25">
      <c r="A44" s="27">
        <f t="shared" si="3"/>
        <v>165580141</v>
      </c>
      <c r="B44" s="28" t="s">
        <v>33</v>
      </c>
      <c r="C44" s="29">
        <f t="shared" si="2"/>
        <v>1.6227428791642493E+26</v>
      </c>
      <c r="L44" s="27">
        <f t="shared" si="0"/>
        <v>165580141</v>
      </c>
      <c r="M44" s="29" t="str">
        <f t="shared" si="1"/>
        <v>$</v>
      </c>
    </row>
    <row r="45" spans="1:13" x14ac:dyDescent="0.25">
      <c r="A45" s="27">
        <f t="shared" si="3"/>
        <v>267914296</v>
      </c>
      <c r="B45" s="28" t="s">
        <v>34</v>
      </c>
      <c r="C45" s="29">
        <f t="shared" si="2"/>
        <v>4.2483960126538684E+26</v>
      </c>
      <c r="L45" s="27">
        <f t="shared" si="0"/>
        <v>267914296</v>
      </c>
      <c r="M45" s="29" t="str">
        <f t="shared" si="1"/>
        <v>%</v>
      </c>
    </row>
    <row r="46" spans="1:13" x14ac:dyDescent="0.25">
      <c r="A46" s="27">
        <f t="shared" si="3"/>
        <v>433494437</v>
      </c>
      <c r="B46" s="28" t="s">
        <v>35</v>
      </c>
      <c r="C46" s="29">
        <f t="shared" si="2"/>
        <v>1.1122445158797355E+27</v>
      </c>
      <c r="L46" s="27">
        <f t="shared" si="0"/>
        <v>433494437</v>
      </c>
      <c r="M46" s="29" t="str">
        <f t="shared" si="1"/>
        <v>&amp;</v>
      </c>
    </row>
    <row r="47" spans="1:13" x14ac:dyDescent="0.25">
      <c r="A47" s="27">
        <f t="shared" si="3"/>
        <v>701408733</v>
      </c>
      <c r="B47" s="28" t="s">
        <v>36</v>
      </c>
      <c r="C47" s="29">
        <f t="shared" si="2"/>
        <v>2.91189394637382E+27</v>
      </c>
      <c r="L47" s="27">
        <f t="shared" si="0"/>
        <v>701408733</v>
      </c>
      <c r="M47" s="29" t="str">
        <f t="shared" si="1"/>
        <v>/</v>
      </c>
    </row>
    <row r="48" spans="1:13" x14ac:dyDescent="0.25">
      <c r="A48" s="27">
        <f t="shared" si="3"/>
        <v>1134903170</v>
      </c>
      <c r="B48" s="28" t="s">
        <v>37</v>
      </c>
      <c r="C48" s="29">
        <f t="shared" si="2"/>
        <v>7.6234373232417239E+27</v>
      </c>
      <c r="L48" s="27">
        <f t="shared" si="0"/>
        <v>1134903170</v>
      </c>
      <c r="M48" s="29" t="str">
        <f t="shared" si="1"/>
        <v>(</v>
      </c>
    </row>
    <row r="49" spans="1:13" x14ac:dyDescent="0.25">
      <c r="A49" s="27">
        <f t="shared" si="3"/>
        <v>1836311903</v>
      </c>
      <c r="B49" s="28" t="s">
        <v>38</v>
      </c>
      <c r="C49" s="29">
        <f t="shared" si="2"/>
        <v>1.9958418023351354E+28</v>
      </c>
      <c r="L49" s="27">
        <f t="shared" si="0"/>
        <v>1836311903</v>
      </c>
      <c r="M49" s="29" t="str">
        <f t="shared" si="1"/>
        <v>)</v>
      </c>
    </row>
    <row r="50" spans="1:13" x14ac:dyDescent="0.25">
      <c r="A50" s="27">
        <f t="shared" si="3"/>
        <v>2971215073</v>
      </c>
      <c r="B50" s="28" t="s">
        <v>39</v>
      </c>
      <c r="C50" s="29">
        <f t="shared" si="2"/>
        <v>5.2251816746812328E+28</v>
      </c>
      <c r="L50" s="27">
        <f t="shared" si="0"/>
        <v>2971215073</v>
      </c>
      <c r="M50" s="29" t="str">
        <f t="shared" si="1"/>
        <v>=</v>
      </c>
    </row>
    <row r="51" spans="1:13" ht="15.75" thickBot="1" x14ac:dyDescent="0.3">
      <c r="A51" s="30">
        <f t="shared" si="3"/>
        <v>4807526976</v>
      </c>
      <c r="B51" s="31" t="s">
        <v>40</v>
      </c>
      <c r="C51" s="32">
        <f t="shared" si="2"/>
        <v>1.3679703221708563E+29</v>
      </c>
      <c r="L51" s="30">
        <f t="shared" si="0"/>
        <v>4807526976</v>
      </c>
      <c r="M51" s="32" t="str">
        <f t="shared" si="1"/>
        <v>¡</v>
      </c>
    </row>
  </sheetData>
  <mergeCells count="5">
    <mergeCell ref="B1:C1"/>
    <mergeCell ref="A3:C3"/>
    <mergeCell ref="L3:M3"/>
    <mergeCell ref="E4:J4"/>
    <mergeCell ref="O2:T7"/>
  </mergeCells>
  <dataValidations count="6">
    <dataValidation type="list" allowBlank="1" showDropDown="1" showInputMessage="1" showErrorMessage="1" errorTitle="ERROR" error="!No es una Letra!" promptTitle="Letra " prompt="No importa si es mayúscula o minúscula " sqref="E5" xr:uid="{AB852253-2BA5-4F04-B57D-D04D5697FF7D}">
      <formula1>$B$5:$B$30</formula1>
    </dataValidation>
    <dataValidation type="list" allowBlank="1" showDropDown="1" showInputMessage="1" showErrorMessage="1" promptTitle="Numero" prompt="Ingrese un SOLO número" sqref="F5" xr:uid="{DC44F00C-F2BD-419F-8C59-7261C1CF151B}">
      <formula1>$B$31:$B$40</formula1>
    </dataValidation>
    <dataValidation type="list" allowBlank="1" showDropDown="1" showInputMessage="1" showErrorMessage="1" errorTitle="¡ERROR!" error="¡Esto no es un Signo!" promptTitle="Signo" prompt="Ingrese cualquier signo de los que  acompañan a los numeros en el teclado menos estos &quot;?&quot;, &quot;¿&quot;" sqref="G5" xr:uid="{EDF85C88-57B7-498A-A54F-01937DEF083C}">
      <formula1>$B$41:$B$51</formula1>
    </dataValidation>
    <dataValidation type="list" allowBlank="1" showDropDown="1" showInputMessage="1" showErrorMessage="1" promptTitle="Numero" prompt="Ingrese un SOLO numero" sqref="H5" xr:uid="{CBF81FB3-4E97-4EA8-A94F-72563E541C0E}">
      <formula1>$B$31:$B$40</formula1>
    </dataValidation>
    <dataValidation type="list" allowBlank="1" showDropDown="1" showInputMessage="1" showErrorMessage="1" errorTitle="ERROR" error="¡Esto no es un Signo!" promptTitle="Signo" prompt="Ingrese cualquier signo de los que  acompañan a los numeros en el teclado menos estos &quot;?&quot;, &quot;¿&quot;" sqref="I5" xr:uid="{8371A73A-BFA6-41F2-A9DE-5B29EC0A6440}">
      <formula1>$B$41:$B$51</formula1>
    </dataValidation>
    <dataValidation type="list" allowBlank="1" showDropDown="1" showInputMessage="1" showErrorMessage="1" errorTitle="¡ERROR!" error="¡No es un letra!" promptTitle="Letra" prompt="No importa si es mayúscula o minúscula" sqref="J5" xr:uid="{CE525ECC-BEDC-43AE-B2EC-7BD1B23B0C42}">
      <formula1>$B$5:$B$30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D68F9-41D9-47DD-9EA7-70497A2C483A}">
  <sheetPr codeName="Hoja2"/>
  <dimension ref="E8:J10"/>
  <sheetViews>
    <sheetView showGridLines="0" topLeftCell="C1" zoomScaleNormal="100" workbookViewId="0">
      <selection activeCell="F15" sqref="F15"/>
    </sheetView>
  </sheetViews>
  <sheetFormatPr defaultColWidth="11.42578125" defaultRowHeight="15" x14ac:dyDescent="0.25"/>
  <cols>
    <col min="1" max="4" width="11.42578125" style="3"/>
    <col min="5" max="5" width="13.140625" style="3" bestFit="1" customWidth="1"/>
    <col min="6" max="6" width="26.5703125" style="3" bestFit="1" customWidth="1"/>
    <col min="7" max="7" width="29.7109375" style="3" bestFit="1" customWidth="1"/>
    <col min="8" max="8" width="25.5703125" style="3" bestFit="1" customWidth="1"/>
    <col min="9" max="9" width="26.5703125" style="3" bestFit="1" customWidth="1"/>
    <col min="10" max="10" width="12" style="3" bestFit="1" customWidth="1"/>
    <col min="11" max="11" width="16.140625" style="3" bestFit="1" customWidth="1"/>
    <col min="12" max="12" width="18.28515625" style="3" bestFit="1" customWidth="1"/>
    <col min="13" max="13" width="13.140625" style="3" bestFit="1" customWidth="1"/>
    <col min="14" max="14" width="19.28515625" style="3" bestFit="1" customWidth="1"/>
    <col min="15" max="15" width="20.28515625" style="3" bestFit="1" customWidth="1"/>
    <col min="16" max="16" width="11" style="3" bestFit="1" customWidth="1"/>
    <col min="17" max="17" width="19.28515625" style="3" bestFit="1" customWidth="1"/>
    <col min="18" max="18" width="14.140625" style="3" bestFit="1" customWidth="1"/>
    <col min="19" max="19" width="18.28515625" style="3" bestFit="1" customWidth="1"/>
    <col min="20" max="20" width="21.42578125" style="3" bestFit="1" customWidth="1"/>
    <col min="21" max="21" width="11" style="3" bestFit="1" customWidth="1"/>
    <col min="22" max="22" width="16.140625" style="3" bestFit="1" customWidth="1"/>
    <col min="23" max="23" width="15.140625" style="3" bestFit="1" customWidth="1"/>
    <col min="24" max="24" width="14.140625" style="3" bestFit="1" customWidth="1"/>
    <col min="25" max="25" width="18.28515625" style="3" bestFit="1" customWidth="1"/>
    <col min="26" max="26" width="26.5703125" style="3" bestFit="1" customWidth="1"/>
    <col min="27" max="16384" width="11.42578125" style="3"/>
  </cols>
  <sheetData>
    <row r="8" spans="5:10" ht="15.75" thickBot="1" x14ac:dyDescent="0.3"/>
    <row r="9" spans="5:10" x14ac:dyDescent="0.25">
      <c r="E9" s="42" t="s">
        <v>41</v>
      </c>
      <c r="F9" s="43"/>
      <c r="G9" s="43"/>
      <c r="H9" s="43"/>
      <c r="I9" s="43"/>
      <c r="J9" s="44"/>
    </row>
    <row r="10" spans="5:10" ht="15.75" thickBot="1" x14ac:dyDescent="0.3">
      <c r="E10" s="4">
        <f>(VLOOKUP(' Texto Fibonacci'!E5,' Texto Fibonacci'!$B$5:$D$51,2,FALSE))</f>
        <v>378802808163.26532</v>
      </c>
      <c r="F10" s="4">
        <f>(VLOOKUP(' Texto Fibonacci'!F5,' Texto Fibonacci'!$B$5:$D$51,2,FALSE))</f>
        <v>1.3193903689146692E+24</v>
      </c>
      <c r="G10" s="4">
        <f>(VLOOKUP(' Texto Fibonacci'!G5,' Texto Fibonacci'!$B$5:$D$51,2,FALSE))</f>
        <v>2.91189394637382E+27</v>
      </c>
      <c r="H10" s="4">
        <f>(VLOOKUP(' Texto Fibonacci'!H5,' Texto Fibonacci'!$B$5:$D$51,2,FALSE))</f>
        <v>1.9249646057375159E+23</v>
      </c>
      <c r="I10" s="4">
        <f>(VLOOKUP(' Texto Fibonacci'!I5,' Texto Fibonacci'!$B$5:$D$51,2,FALSE))</f>
        <v>9.0432361218289469E+24</v>
      </c>
      <c r="J10" s="13">
        <f>(VLOOKUP(' Texto Fibonacci'!J5,' Texto Fibonacci'!$B$5:$D$51,2,FALSE))</f>
        <v>23675175510.204082</v>
      </c>
    </row>
  </sheetData>
  <mergeCells count="1">
    <mergeCell ref="E9:J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2FE5E-BB4A-4EB0-BB3C-4951FBE8862E}">
  <sheetPr codeName="Hoja3"/>
  <dimension ref="E9:J11"/>
  <sheetViews>
    <sheetView showGridLines="0" topLeftCell="B7" zoomScale="160" zoomScaleNormal="160" workbookViewId="0">
      <selection activeCell="J11" sqref="J11"/>
    </sheetView>
  </sheetViews>
  <sheetFormatPr defaultColWidth="11.42578125" defaultRowHeight="15" x14ac:dyDescent="0.25"/>
  <cols>
    <col min="1" max="4" width="11.42578125" style="1"/>
    <col min="5" max="5" width="2.140625" style="1" bestFit="1" customWidth="1"/>
    <col min="6" max="6" width="2" style="1" bestFit="1" customWidth="1"/>
    <col min="7" max="7" width="1.85546875" style="1" bestFit="1" customWidth="1"/>
    <col min="8" max="8" width="2" style="1" bestFit="1" customWidth="1"/>
    <col min="9" max="9" width="1.85546875" style="1" bestFit="1" customWidth="1"/>
    <col min="10" max="10" width="2.140625" style="1" bestFit="1" customWidth="1"/>
    <col min="11" max="26" width="5.5703125" style="1" bestFit="1" customWidth="1"/>
    <col min="27" max="16384" width="11.42578125" style="1"/>
  </cols>
  <sheetData>
    <row r="9" spans="5:10" ht="15.75" thickBot="1" x14ac:dyDescent="0.3"/>
    <row r="10" spans="5:10" x14ac:dyDescent="0.25">
      <c r="E10" s="42" t="s">
        <v>43</v>
      </c>
      <c r="F10" s="45"/>
      <c r="G10" s="45"/>
      <c r="H10" s="45"/>
      <c r="I10" s="45"/>
      <c r="J10" s="46"/>
    </row>
    <row r="11" spans="5:10" ht="15.75" thickBot="1" x14ac:dyDescent="0.3">
      <c r="E11" s="2" t="str">
        <f>VLOOKUP(SQRT('Encriptado Fibonacci'!E10*0.00049)/1703,Tabla2,2,FALSE)</f>
        <v>e</v>
      </c>
      <c r="F11" s="2">
        <f>VLOOKUP(SQRT('Encriptado Fibonacci'!F10*0.00049)/1703,Tabla2,2,FALSE)</f>
        <v>9</v>
      </c>
      <c r="G11" s="2" t="str">
        <f>VLOOKUP(SQRT('Encriptado Fibonacci'!G10*0.00049)/1703,Tabla2,2,FALSE)</f>
        <v>/</v>
      </c>
      <c r="H11" s="2">
        <f>VLOOKUP(SQRT('Encriptado Fibonacci'!H10*0.00049)/1703,Tabla2,2,FALSE)</f>
        <v>7</v>
      </c>
      <c r="I11" s="2" t="str">
        <f>VLOOKUP(SQRT('Encriptado Fibonacci'!I10*0.00049)/1703,Tabla2,2,FALSE)</f>
        <v>!</v>
      </c>
      <c r="J11" s="14" t="str">
        <f>VLOOKUP(SQRT('Encriptado Fibonacci'!J10*0.00049)/1703,Tabla2,2,FALSE)</f>
        <v>b</v>
      </c>
    </row>
  </sheetData>
  <mergeCells count="1">
    <mergeCell ref="E10:J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25CA5-C326-4F6C-9CB4-3CD61354FC16}">
  <sheetPr codeName="Hoja4"/>
  <dimension ref="A1:P48"/>
  <sheetViews>
    <sheetView showGridLines="0" tabSelected="1" zoomScaleNormal="100" workbookViewId="0">
      <selection activeCell="H13" sqref="H13"/>
    </sheetView>
  </sheetViews>
  <sheetFormatPr defaultColWidth="11.42578125" defaultRowHeight="15" x14ac:dyDescent="0.25"/>
  <cols>
    <col min="1" max="4" width="11.42578125" style="7"/>
    <col min="5" max="6" width="2" style="7" bestFit="1" customWidth="1"/>
    <col min="7" max="7" width="4.5703125" style="7" bestFit="1" customWidth="1"/>
    <col min="8" max="8" width="19.140625" style="7" bestFit="1" customWidth="1"/>
    <col min="9" max="9" width="35" style="7" bestFit="1" customWidth="1"/>
    <col min="10" max="10" width="31.28515625" style="7" bestFit="1" customWidth="1"/>
    <col min="11" max="11" width="50.85546875" style="7" bestFit="1" customWidth="1"/>
    <col min="12" max="12" width="5.5703125" style="7" bestFit="1" customWidth="1"/>
    <col min="13" max="13" width="10.5703125" style="7" customWidth="1"/>
    <col min="14" max="14" width="11.42578125" style="7"/>
    <col min="15" max="15" width="123.85546875" style="7" bestFit="1" customWidth="1"/>
    <col min="16" max="16" width="24" style="8" bestFit="1" customWidth="1"/>
    <col min="17" max="16384" width="11.42578125" style="7"/>
  </cols>
  <sheetData>
    <row r="1" spans="1:16" x14ac:dyDescent="0.25">
      <c r="A1" s="52" t="s">
        <v>0</v>
      </c>
      <c r="B1" s="52"/>
      <c r="C1" s="5"/>
      <c r="D1" s="6"/>
      <c r="E1" s="49" t="s">
        <v>45</v>
      </c>
      <c r="F1" s="50"/>
      <c r="G1" s="50"/>
      <c r="H1" s="50"/>
      <c r="I1" s="50"/>
      <c r="J1" s="51"/>
    </row>
    <row r="2" spans="1:16" ht="15.75" thickBot="1" x14ac:dyDescent="0.3">
      <c r="A2" s="9" t="s">
        <v>26</v>
      </c>
      <c r="B2" s="9" t="s">
        <v>32</v>
      </c>
      <c r="C2" s="10"/>
      <c r="D2" s="10"/>
      <c r="E2" s="15">
        <v>2</v>
      </c>
      <c r="F2" s="16">
        <v>3</v>
      </c>
      <c r="G2" s="16">
        <v>5</v>
      </c>
      <c r="H2" s="16">
        <v>7</v>
      </c>
      <c r="I2" s="16">
        <v>11</v>
      </c>
      <c r="J2" s="17">
        <v>13</v>
      </c>
    </row>
    <row r="3" spans="1:16" ht="15.75" thickBot="1" x14ac:dyDescent="0.3">
      <c r="A3" s="11" t="s">
        <v>29</v>
      </c>
      <c r="B3" s="11">
        <v>1</v>
      </c>
      <c r="D3" s="10"/>
    </row>
    <row r="4" spans="1:16" x14ac:dyDescent="0.25">
      <c r="A4" s="11" t="s">
        <v>1</v>
      </c>
      <c r="B4" s="11">
        <v>2</v>
      </c>
      <c r="D4" s="10"/>
      <c r="G4" s="49" t="s">
        <v>27</v>
      </c>
      <c r="H4" s="50"/>
      <c r="I4" s="50"/>
      <c r="J4" s="50"/>
      <c r="K4" s="50"/>
      <c r="L4" s="51"/>
    </row>
    <row r="5" spans="1:16" ht="15.75" thickBot="1" x14ac:dyDescent="0.3">
      <c r="A5" s="11" t="s">
        <v>2</v>
      </c>
      <c r="B5" s="11">
        <v>3</v>
      </c>
      <c r="D5" s="10"/>
      <c r="G5" s="15" t="s">
        <v>29</v>
      </c>
      <c r="H5" s="16">
        <v>1</v>
      </c>
      <c r="I5" s="16" t="s">
        <v>30</v>
      </c>
      <c r="J5" s="16">
        <v>1</v>
      </c>
      <c r="K5" s="16" t="s">
        <v>30</v>
      </c>
      <c r="L5" s="17" t="s">
        <v>29</v>
      </c>
    </row>
    <row r="6" spans="1:16" x14ac:dyDescent="0.25">
      <c r="A6" s="11" t="s">
        <v>3</v>
      </c>
      <c r="B6" s="11">
        <v>4</v>
      </c>
      <c r="D6" s="10"/>
    </row>
    <row r="7" spans="1:16" ht="15.75" thickBot="1" x14ac:dyDescent="0.3">
      <c r="A7" s="11" t="s">
        <v>4</v>
      </c>
      <c r="B7" s="11">
        <v>5</v>
      </c>
      <c r="D7" s="10"/>
    </row>
    <row r="8" spans="1:16" x14ac:dyDescent="0.25">
      <c r="A8" s="11" t="s">
        <v>5</v>
      </c>
      <c r="B8" s="11">
        <v>6</v>
      </c>
      <c r="D8" s="10"/>
      <c r="G8" s="49" t="s">
        <v>41</v>
      </c>
      <c r="H8" s="50"/>
      <c r="I8" s="50"/>
      <c r="J8" s="50"/>
      <c r="K8" s="50"/>
      <c r="L8" s="51"/>
      <c r="O8" s="22" t="s">
        <v>44</v>
      </c>
    </row>
    <row r="9" spans="1:16" ht="15.75" thickBot="1" x14ac:dyDescent="0.3">
      <c r="A9" s="11" t="s">
        <v>6</v>
      </c>
      <c r="B9" s="11">
        <v>7</v>
      </c>
      <c r="D9" s="10"/>
      <c r="G9" s="18">
        <f t="shared" ref="G9:L9" si="0">E2^VLOOKUP(G5,$A$3:$B$48,2,FALSE)</f>
        <v>2</v>
      </c>
      <c r="H9" s="19">
        <f t="shared" si="0"/>
        <v>7625597484987</v>
      </c>
      <c r="I9" s="19">
        <f t="shared" si="0"/>
        <v>7.2759576141834264E+25</v>
      </c>
      <c r="J9" s="19">
        <f t="shared" si="0"/>
        <v>6.5712362363534279E+22</v>
      </c>
      <c r="K9" s="19">
        <f t="shared" si="0"/>
        <v>3.4003948586157736E+38</v>
      </c>
      <c r="L9" s="20">
        <f t="shared" si="0"/>
        <v>13</v>
      </c>
      <c r="O9" s="21">
        <f>PRODUCT(G9:L9)</f>
        <v>3.2233971461648218E+101</v>
      </c>
    </row>
    <row r="10" spans="1:16" ht="15.75" thickBot="1" x14ac:dyDescent="0.3">
      <c r="A10" s="11" t="s">
        <v>7</v>
      </c>
      <c r="B10" s="11">
        <v>8</v>
      </c>
      <c r="D10" s="10"/>
      <c r="P10" s="12"/>
    </row>
    <row r="11" spans="1:16" x14ac:dyDescent="0.25">
      <c r="A11" s="11" t="s">
        <v>8</v>
      </c>
      <c r="B11" s="11">
        <v>9</v>
      </c>
      <c r="D11" s="10"/>
      <c r="G11" s="49" t="s">
        <v>28</v>
      </c>
      <c r="H11" s="50"/>
      <c r="I11" s="50"/>
      <c r="J11" s="50"/>
      <c r="K11" s="50"/>
      <c r="L11" s="51"/>
    </row>
    <row r="12" spans="1:16" ht="15.75" thickBot="1" x14ac:dyDescent="0.3">
      <c r="A12" s="11" t="s">
        <v>9</v>
      </c>
      <c r="B12" s="11">
        <v>10</v>
      </c>
      <c r="D12" s="10"/>
      <c r="G12" s="15"/>
      <c r="H12" s="16"/>
      <c r="I12" s="16"/>
      <c r="J12" s="16"/>
      <c r="K12" s="16"/>
      <c r="L12" s="17"/>
    </row>
    <row r="13" spans="1:16" x14ac:dyDescent="0.25">
      <c r="A13" s="11" t="s">
        <v>10</v>
      </c>
      <c r="B13" s="11">
        <v>11</v>
      </c>
      <c r="D13" s="10"/>
    </row>
    <row r="14" spans="1:16" x14ac:dyDescent="0.25">
      <c r="A14" s="11" t="s">
        <v>11</v>
      </c>
      <c r="B14" s="11">
        <v>12</v>
      </c>
      <c r="D14" s="10"/>
      <c r="H14" s="47" t="s">
        <v>47</v>
      </c>
      <c r="I14" s="48"/>
    </row>
    <row r="15" spans="1:16" x14ac:dyDescent="0.25">
      <c r="A15" s="11" t="s">
        <v>12</v>
      </c>
      <c r="B15" s="11">
        <v>13</v>
      </c>
      <c r="D15" s="10"/>
      <c r="H15" s="48"/>
      <c r="I15" s="48"/>
    </row>
    <row r="16" spans="1:16" x14ac:dyDescent="0.25">
      <c r="A16" s="11" t="s">
        <v>13</v>
      </c>
      <c r="B16" s="11">
        <v>14</v>
      </c>
      <c r="D16" s="10"/>
      <c r="H16" s="48"/>
      <c r="I16" s="48"/>
    </row>
    <row r="17" spans="1:9" x14ac:dyDescent="0.25">
      <c r="A17" s="11" t="s">
        <v>14</v>
      </c>
      <c r="B17" s="11">
        <v>16</v>
      </c>
      <c r="D17" s="10"/>
      <c r="H17" s="48"/>
      <c r="I17" s="48"/>
    </row>
    <row r="18" spans="1:9" x14ac:dyDescent="0.25">
      <c r="A18" s="11" t="s">
        <v>15</v>
      </c>
      <c r="B18" s="11">
        <v>17</v>
      </c>
      <c r="D18" s="10"/>
      <c r="H18" s="48"/>
      <c r="I18" s="48"/>
    </row>
    <row r="19" spans="1:9" x14ac:dyDescent="0.25">
      <c r="A19" s="11" t="s">
        <v>16</v>
      </c>
      <c r="B19" s="11">
        <v>18</v>
      </c>
      <c r="D19" s="10"/>
    </row>
    <row r="20" spans="1:9" x14ac:dyDescent="0.25">
      <c r="A20" s="11" t="s">
        <v>17</v>
      </c>
      <c r="B20" s="11">
        <v>19</v>
      </c>
      <c r="D20" s="10"/>
    </row>
    <row r="21" spans="1:9" x14ac:dyDescent="0.25">
      <c r="A21" s="11" t="s">
        <v>18</v>
      </c>
      <c r="B21" s="11">
        <v>20</v>
      </c>
      <c r="D21" s="10"/>
    </row>
    <row r="22" spans="1:9" x14ac:dyDescent="0.25">
      <c r="A22" s="11" t="s">
        <v>19</v>
      </c>
      <c r="B22" s="11">
        <v>21</v>
      </c>
      <c r="D22" s="10"/>
    </row>
    <row r="23" spans="1:9" x14ac:dyDescent="0.25">
      <c r="A23" s="11" t="s">
        <v>20</v>
      </c>
      <c r="B23" s="11">
        <v>22</v>
      </c>
      <c r="D23" s="10"/>
    </row>
    <row r="24" spans="1:9" x14ac:dyDescent="0.25">
      <c r="A24" s="11" t="s">
        <v>21</v>
      </c>
      <c r="B24" s="11">
        <v>23</v>
      </c>
      <c r="D24" s="10"/>
    </row>
    <row r="25" spans="1:9" x14ac:dyDescent="0.25">
      <c r="A25" s="11" t="s">
        <v>22</v>
      </c>
      <c r="B25" s="11">
        <v>24</v>
      </c>
      <c r="D25" s="10"/>
    </row>
    <row r="26" spans="1:9" x14ac:dyDescent="0.25">
      <c r="A26" s="11" t="s">
        <v>23</v>
      </c>
      <c r="B26" s="11">
        <v>25</v>
      </c>
      <c r="D26" s="10"/>
    </row>
    <row r="27" spans="1:9" x14ac:dyDescent="0.25">
      <c r="A27" s="11" t="s">
        <v>24</v>
      </c>
      <c r="B27" s="11">
        <v>26</v>
      </c>
      <c r="D27" s="10"/>
    </row>
    <row r="28" spans="1:9" x14ac:dyDescent="0.25">
      <c r="A28" s="11">
        <v>1</v>
      </c>
      <c r="B28" s="11">
        <v>27</v>
      </c>
      <c r="D28" s="10"/>
    </row>
    <row r="29" spans="1:9" x14ac:dyDescent="0.25">
      <c r="A29" s="11">
        <v>2</v>
      </c>
      <c r="B29" s="11">
        <v>28</v>
      </c>
      <c r="D29" s="10"/>
    </row>
    <row r="30" spans="1:9" x14ac:dyDescent="0.25">
      <c r="A30" s="11">
        <v>3</v>
      </c>
      <c r="B30" s="11">
        <v>29</v>
      </c>
      <c r="D30" s="10"/>
    </row>
    <row r="31" spans="1:9" x14ac:dyDescent="0.25">
      <c r="A31" s="11">
        <v>4</v>
      </c>
      <c r="B31" s="11">
        <v>30</v>
      </c>
      <c r="D31" s="10"/>
    </row>
    <row r="32" spans="1:9" x14ac:dyDescent="0.25">
      <c r="A32" s="11">
        <v>5</v>
      </c>
      <c r="B32" s="11">
        <v>31</v>
      </c>
      <c r="D32" s="10"/>
    </row>
    <row r="33" spans="1:4" x14ac:dyDescent="0.25">
      <c r="A33" s="11">
        <v>6</v>
      </c>
      <c r="B33" s="11">
        <v>32</v>
      </c>
      <c r="D33" s="10"/>
    </row>
    <row r="34" spans="1:4" x14ac:dyDescent="0.25">
      <c r="A34" s="11">
        <v>7</v>
      </c>
      <c r="B34" s="11">
        <v>33</v>
      </c>
      <c r="D34" s="10"/>
    </row>
    <row r="35" spans="1:4" x14ac:dyDescent="0.25">
      <c r="A35" s="11">
        <v>8</v>
      </c>
      <c r="B35" s="11">
        <v>34</v>
      </c>
      <c r="D35" s="10"/>
    </row>
    <row r="36" spans="1:4" x14ac:dyDescent="0.25">
      <c r="A36" s="11">
        <v>9</v>
      </c>
      <c r="B36" s="11">
        <v>35</v>
      </c>
      <c r="D36" s="10"/>
    </row>
    <row r="37" spans="1:4" x14ac:dyDescent="0.25">
      <c r="A37" s="11">
        <v>0</v>
      </c>
      <c r="B37" s="11">
        <v>36</v>
      </c>
      <c r="D37" s="10"/>
    </row>
    <row r="38" spans="1:4" x14ac:dyDescent="0.25">
      <c r="A38" s="11" t="s">
        <v>30</v>
      </c>
      <c r="B38" s="11">
        <v>37</v>
      </c>
      <c r="D38" s="10"/>
    </row>
    <row r="39" spans="1:4" x14ac:dyDescent="0.25">
      <c r="A39" s="11" t="s">
        <v>31</v>
      </c>
      <c r="B39" s="11">
        <v>38</v>
      </c>
      <c r="D39" s="10"/>
    </row>
    <row r="40" spans="1:4" x14ac:dyDescent="0.25">
      <c r="A40" s="11" t="s">
        <v>32</v>
      </c>
      <c r="B40" s="11">
        <v>39</v>
      </c>
      <c r="D40" s="10"/>
    </row>
    <row r="41" spans="1:4" x14ac:dyDescent="0.25">
      <c r="A41" s="11" t="s">
        <v>33</v>
      </c>
      <c r="B41" s="11">
        <v>40</v>
      </c>
      <c r="D41" s="10"/>
    </row>
    <row r="42" spans="1:4" x14ac:dyDescent="0.25">
      <c r="A42" s="11" t="s">
        <v>34</v>
      </c>
      <c r="B42" s="11">
        <v>41</v>
      </c>
      <c r="D42" s="10"/>
    </row>
    <row r="43" spans="1:4" x14ac:dyDescent="0.25">
      <c r="A43" s="11" t="s">
        <v>35</v>
      </c>
      <c r="B43" s="11">
        <v>42</v>
      </c>
      <c r="D43" s="10"/>
    </row>
    <row r="44" spans="1:4" x14ac:dyDescent="0.25">
      <c r="A44" s="11" t="s">
        <v>36</v>
      </c>
      <c r="B44" s="11">
        <v>43</v>
      </c>
      <c r="D44" s="10"/>
    </row>
    <row r="45" spans="1:4" x14ac:dyDescent="0.25">
      <c r="A45" s="11" t="s">
        <v>37</v>
      </c>
      <c r="B45" s="11">
        <v>44</v>
      </c>
      <c r="D45" s="10"/>
    </row>
    <row r="46" spans="1:4" x14ac:dyDescent="0.25">
      <c r="A46" s="11" t="s">
        <v>38</v>
      </c>
      <c r="B46" s="11">
        <v>45</v>
      </c>
      <c r="D46" s="10"/>
    </row>
    <row r="47" spans="1:4" x14ac:dyDescent="0.25">
      <c r="A47" s="11" t="s">
        <v>39</v>
      </c>
      <c r="B47" s="11">
        <v>46</v>
      </c>
      <c r="D47" s="10"/>
    </row>
    <row r="48" spans="1:4" x14ac:dyDescent="0.25">
      <c r="A48" s="11" t="s">
        <v>40</v>
      </c>
      <c r="B48" s="11">
        <v>47</v>
      </c>
      <c r="D48" s="10"/>
    </row>
  </sheetData>
  <mergeCells count="6">
    <mergeCell ref="H14:I18"/>
    <mergeCell ref="G4:L4"/>
    <mergeCell ref="G8:L8"/>
    <mergeCell ref="A1:B1"/>
    <mergeCell ref="G11:L11"/>
    <mergeCell ref="E1:J1"/>
  </mergeCells>
  <dataValidations count="3">
    <dataValidation type="list" allowBlank="1" showDropDown="1" showInputMessage="1" showErrorMessage="1" sqref="G5 L5" xr:uid="{32B5603E-C4EE-465A-8FEA-4A52433FE9E0}">
      <formula1>$A$3:$A$27</formula1>
    </dataValidation>
    <dataValidation type="list" allowBlank="1" showDropDown="1" showInputMessage="1" showErrorMessage="1" sqref="H5 J5" xr:uid="{3968AA88-C9E1-4BDA-9A9D-FDEF0C882369}">
      <formula1>$A$28:$A$37</formula1>
    </dataValidation>
    <dataValidation type="list" allowBlank="1" showDropDown="1" showInputMessage="1" showErrorMessage="1" sqref="I5 K5" xr:uid="{4C77C8CE-1948-451D-8F66-08E59A8DB146}">
      <formula1>$A$38:$A$48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 Texto Fibonacci</vt:lpstr>
      <vt:lpstr>Encriptado Fibonacci</vt:lpstr>
      <vt:lpstr>Decryption Fibonacci</vt:lpstr>
      <vt:lpstr>Godel Encryption</vt:lpstr>
      <vt:lpstr>Tabla1</vt:lpstr>
      <vt:lpstr>Tabla2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Garcia</dc:creator>
  <cp:lastModifiedBy>Sergio Garcia</cp:lastModifiedBy>
  <dcterms:created xsi:type="dcterms:W3CDTF">2017-09-29T23:52:40Z</dcterms:created>
  <dcterms:modified xsi:type="dcterms:W3CDTF">2017-10-17T16:44:03Z</dcterms:modified>
</cp:coreProperties>
</file>